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PR3+wa8WJ+NXRC7DOevNou7RHeATt+aOTqqoYgJHos="/>
    </ext>
  </extLst>
</workbook>
</file>

<file path=xl/sharedStrings.xml><?xml version="1.0" encoding="utf-8"?>
<sst xmlns="http://schemas.openxmlformats.org/spreadsheetml/2006/main" count="25" uniqueCount="23">
  <si>
    <r>
      <rPr>
        <rFont val="Calibri"/>
        <b/>
        <color theme="1"/>
        <sz val="12.0"/>
      </rPr>
      <t>Dengue Shock Syndrome Score_Age</t>
    </r>
    <r>
      <rPr>
        <rFont val="Calibri"/>
        <b/>
        <color theme="1"/>
        <sz val="12.0"/>
      </rPr>
      <t>≥</t>
    </r>
    <r>
      <rPr>
        <rFont val="Calibri"/>
        <b/>
        <color theme="1"/>
        <sz val="12.0"/>
      </rPr>
      <t>16yo</t>
    </r>
    <r>
      <rPr>
        <rFont val="Calibri"/>
        <b/>
        <color theme="1"/>
        <sz val="10.0"/>
      </rPr>
      <t xml:space="preserve">
</t>
    </r>
    <r>
      <rPr>
        <rFont val="Calibri"/>
        <b val="0"/>
        <color theme="1"/>
        <sz val="10.0"/>
      </rPr>
      <t>(Use the same unit for Yesterday and Today values)</t>
    </r>
  </si>
  <si>
    <t>Hematocrit Yesterday:</t>
  </si>
  <si>
    <t>HIR*:</t>
  </si>
  <si>
    <t>Hematocrit Today:</t>
  </si>
  <si>
    <t>PDR*:</t>
  </si>
  <si>
    <t>Platelet Yesterday:</t>
  </si>
  <si>
    <t>HIR point:</t>
  </si>
  <si>
    <t>Platelet Today:</t>
  </si>
  <si>
    <t>PDR point:</t>
  </si>
  <si>
    <t xml:space="preserve">Warning Sign (WS): </t>
  </si>
  <si>
    <t>Yes=1</t>
  </si>
  <si>
    <t>WS point</t>
  </si>
  <si>
    <t>Abddominal pain/Tenderness</t>
  </si>
  <si>
    <t>,</t>
  </si>
  <si>
    <t>Persistent vomitting</t>
  </si>
  <si>
    <t xml:space="preserve"> </t>
  </si>
  <si>
    <t>DSS Score</t>
  </si>
  <si>
    <t>Clinical fluid accumulation</t>
  </si>
  <si>
    <t>Mucosal bleed</t>
  </si>
  <si>
    <t>Lethargy/restlessness</t>
  </si>
  <si>
    <t>DSS Risk</t>
  </si>
  <si>
    <t xml:space="preserve">Liver enlargement &gt;2cm </t>
  </si>
  <si>
    <t>*HIR:Hematocrit Increase Rate/day, PDR:Platelet Decrease Rate/day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</si>
</sst>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0.0"/>
      <color theme="1"/>
      <name val="Calibri"/>
    </font>
    <font>
      <sz val="9.0"/>
      <color theme="1"/>
      <name val="Calibri"/>
    </font>
    <font>
      <sz val="9.0"/>
      <color theme="1"/>
      <name val="Arial"/>
    </font>
    <font>
      <sz val="9.0"/>
      <color theme="1"/>
      <name val="Arial Narrow"/>
    </font>
    <font>
      <sz val="10.0"/>
      <color theme="1"/>
      <name val="Calibri"/>
    </font>
    <font>
      <color theme="1"/>
      <name val="Calibri"/>
      <scheme val="minor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/>
    </xf>
    <xf borderId="3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4" fillId="0" fontId="2" numFmtId="164" xfId="0" applyAlignment="1" applyBorder="1" applyFont="1" applyNumberForma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/>
    </xf>
    <xf borderId="1" fillId="4" fontId="3" numFmtId="0" xfId="0" applyAlignment="1" applyBorder="1" applyFill="1" applyFont="1">
      <alignment shrinkToFit="0" wrapText="1"/>
    </xf>
    <xf borderId="1" fillId="4" fontId="4" numFmtId="0" xfId="0" applyBorder="1" applyFont="1"/>
    <xf borderId="5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center"/>
    </xf>
    <xf borderId="1" fillId="4" fontId="4" numFmtId="0" xfId="0" applyAlignment="1" applyBorder="1" applyFont="1">
      <alignment horizontal="right" shrinkToFit="0" wrapText="1"/>
    </xf>
    <xf borderId="1" fillId="4" fontId="5" numFmtId="0" xfId="0" applyAlignment="1" applyBorder="1" applyFont="1">
      <alignment readingOrder="0" vertical="top"/>
    </xf>
    <xf borderId="0" fillId="0" fontId="5" numFmtId="0" xfId="0" applyAlignment="1" applyFont="1">
      <alignment vertical="top"/>
    </xf>
    <xf borderId="0" fillId="0" fontId="6" numFmtId="0" xfId="0" applyFont="1"/>
    <xf borderId="1" fillId="4" fontId="4" numFmtId="0" xfId="0" applyAlignment="1" applyBorder="1" applyFont="1">
      <alignment horizontal="right"/>
    </xf>
    <xf borderId="1" fillId="4" fontId="5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readingOrder="0"/>
    </xf>
    <xf borderId="0" fillId="0" fontId="5" numFmtId="0" xfId="0" applyFont="1"/>
    <xf borderId="7" fillId="0" fontId="1" numFmtId="0" xfId="0" applyAlignment="1" applyBorder="1" applyFont="1">
      <alignment horizontal="center"/>
    </xf>
    <xf borderId="0" fillId="0" fontId="7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5.0"/>
    <col customWidth="1" min="3" max="3" width="7.71"/>
    <col customWidth="1" min="4" max="4" width="8.57"/>
    <col customWidth="1" min="5" max="5" width="6.14"/>
    <col customWidth="1" min="6" max="26" width="8.71"/>
  </cols>
  <sheetData>
    <row r="1" ht="39.0" customHeight="1">
      <c r="A1" s="1" t="s">
        <v>0</v>
      </c>
    </row>
    <row r="2" ht="14.25" customHeight="1">
      <c r="A2" s="2" t="s">
        <v>1</v>
      </c>
      <c r="B2" s="3"/>
      <c r="C2" s="4" t="s">
        <v>2</v>
      </c>
      <c r="D2" s="5" t="str">
        <f>(B3-B2)/B2</f>
        <v>#DIV/0!</v>
      </c>
    </row>
    <row r="3" ht="14.25" customHeight="1">
      <c r="A3" s="2" t="s">
        <v>3</v>
      </c>
      <c r="B3" s="3"/>
      <c r="C3" s="6" t="s">
        <v>4</v>
      </c>
      <c r="D3" s="7" t="str">
        <f>(B4-B5)/B4</f>
        <v>#DIV/0!</v>
      </c>
    </row>
    <row r="4" ht="14.25" customHeight="1">
      <c r="A4" s="8" t="s">
        <v>5</v>
      </c>
      <c r="B4" s="9"/>
      <c r="C4" s="6" t="s">
        <v>6</v>
      </c>
      <c r="D4" s="10" t="str">
        <f>IF(D2&gt;=5%,3,0)</f>
        <v>#DIV/0!</v>
      </c>
    </row>
    <row r="5" ht="14.25" customHeight="1">
      <c r="A5" s="8" t="s">
        <v>7</v>
      </c>
      <c r="B5" s="9"/>
      <c r="C5" s="6" t="s">
        <v>8</v>
      </c>
      <c r="D5" s="10" t="str">
        <f>IF(D3&gt;=50%,4,0)</f>
        <v>#DIV/0!</v>
      </c>
    </row>
    <row r="6" ht="14.25" customHeight="1">
      <c r="A6" s="11" t="s">
        <v>9</v>
      </c>
      <c r="B6" s="12" t="s">
        <v>10</v>
      </c>
      <c r="C6" s="13" t="s">
        <v>11</v>
      </c>
      <c r="D6" s="14">
        <f>IF(SUM(B7:B12)&gt;1,6,0)</f>
        <v>0</v>
      </c>
    </row>
    <row r="7" ht="16.5" customHeight="1">
      <c r="A7" s="15" t="s">
        <v>12</v>
      </c>
      <c r="B7" s="16"/>
      <c r="C7" s="17"/>
      <c r="E7" s="18" t="s">
        <v>13</v>
      </c>
    </row>
    <row r="8" ht="14.25" customHeight="1">
      <c r="A8" s="19" t="s">
        <v>14</v>
      </c>
      <c r="B8" s="20" t="s">
        <v>15</v>
      </c>
      <c r="C8" s="21" t="s">
        <v>16</v>
      </c>
    </row>
    <row r="9" ht="16.5" customHeight="1">
      <c r="A9" s="15" t="s">
        <v>17</v>
      </c>
      <c r="B9" s="20" t="s">
        <v>15</v>
      </c>
      <c r="C9" s="22" t="str">
        <f>SUM(D4,D5,D6)</f>
        <v>#DIV/0!</v>
      </c>
    </row>
    <row r="10" ht="14.25" customHeight="1">
      <c r="A10" s="19" t="s">
        <v>18</v>
      </c>
      <c r="B10" s="23"/>
      <c r="C10" s="24"/>
    </row>
    <row r="11" ht="14.25" customHeight="1">
      <c r="A11" s="19" t="s">
        <v>19</v>
      </c>
      <c r="B11" s="20" t="s">
        <v>15</v>
      </c>
      <c r="C11" s="25" t="s">
        <v>20</v>
      </c>
    </row>
    <row r="12" ht="18.0" customHeight="1">
      <c r="A12" s="15" t="s">
        <v>21</v>
      </c>
      <c r="B12" s="20"/>
      <c r="C12" s="22" t="str">
        <f>IFS(C9&gt;8,"High",C9&gt;4,"Moderate",TRUE,"Low")</f>
        <v>#DIV/0!</v>
      </c>
    </row>
    <row r="13" ht="14.25" customHeight="1">
      <c r="A13" s="26" t="s">
        <v>22</v>
      </c>
      <c r="B13" s="24"/>
      <c r="C13" s="24"/>
      <c r="D13" s="24"/>
      <c r="E13" s="2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conditionalFormatting sqref="C12">
    <cfRule type="containsText" dxfId="0" priority="1" operator="containsText" text="LOW">
      <formula>NOT(ISERROR(SEARCH(("LOW"),(C12))))</formula>
    </cfRule>
  </conditionalFormatting>
  <conditionalFormatting sqref="C12">
    <cfRule type="containsText" dxfId="1" priority="2" operator="containsText" text="MODERATE">
      <formula>NOT(ISERROR(SEARCH(("MODERATE"),(C12))))</formula>
    </cfRule>
  </conditionalFormatting>
  <conditionalFormatting sqref="C12">
    <cfRule type="containsText" dxfId="2" priority="3" operator="containsText" text="HIGH">
      <formula>NOT(ISERROR(SEARCH(("HIGH"),(C12))))</formula>
    </cfRule>
  </conditionalFormatting>
  <conditionalFormatting sqref="C12">
    <cfRule type="cellIs" dxfId="0" priority="4" operator="lessThan">
      <formula>5</formula>
    </cfRule>
  </conditionalFormatting>
  <conditionalFormatting sqref="C12">
    <cfRule type="cellIs" dxfId="1" priority="5" operator="between">
      <formula>6</formula>
      <formula>7</formula>
    </cfRule>
  </conditionalFormatting>
  <conditionalFormatting sqref="C12">
    <cfRule type="cellIs" dxfId="2" priority="6" operator="greaterThan">
      <formula>8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2024-02-15T11:47:08Z</dcterms:created>
  <dc:creator>Hà Vinh</dc:creator>
</cp:coreProperties>
</file>